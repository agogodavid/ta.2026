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7"/>
  <workbookPr/>
  <mc:AlternateContent xmlns:mc="http://schemas.openxmlformats.org/markup-compatibility/2006">
    <mc:Choice Requires="x15">
      <x15ac:absPath xmlns:x15ac="http://schemas.microsoft.com/office/spreadsheetml/2010/11/ac" url="/Users/adijuo/Library/CloudStorage/Box-Box/IS6481/lecture_slides_notes/"/>
    </mc:Choice>
  </mc:AlternateContent>
  <xr:revisionPtr revIDLastSave="0" documentId="13_ncr:1_{D5FD2000-14D7-BA47-A913-F1F857987BFD}" xr6:coauthVersionLast="47" xr6:coauthVersionMax="47" xr10:uidLastSave="{00000000-0000-0000-0000-000000000000}"/>
  <bookViews>
    <workbookView xWindow="1560" yWindow="1560" windowWidth="21600" windowHeight="13760" activeTab="3" xr2:uid="{00000000-000D-0000-FFFF-FFFF00000000}"/>
  </bookViews>
  <sheets>
    <sheet name="stage one" sheetId="1" r:id="rId1"/>
    <sheet name="stage two" sheetId="2" r:id="rId2"/>
    <sheet name="dvdrental data example" sheetId="4" r:id="rId3"/>
    <sheet name="dvdrental data example - 2" sheetId="5" r:id="rId4"/>
  </sheets>
  <definedNames>
    <definedName name="solver_adj" localSheetId="2" hidden="1">'dvdrental data example'!$F$4:$F$11</definedName>
    <definedName name="solver_adj" localSheetId="3" hidden="1">'dvdrental data example - 2'!$F$4:$F$11</definedName>
    <definedName name="solver_adj" localSheetId="0" hidden="1">'stage one'!$C$3:$C$4</definedName>
    <definedName name="solver_adj" localSheetId="1" hidden="1">'stage two'!$C$3:$C$4</definedName>
    <definedName name="solver_cvg" localSheetId="2" hidden="1">0.0001</definedName>
    <definedName name="solver_cvg" localSheetId="3" hidden="1">0.0001</definedName>
    <definedName name="solver_cvg" localSheetId="0" hidden="1">0.0001</definedName>
    <definedName name="solver_cvg" localSheetId="1" hidden="1">0.0001</definedName>
    <definedName name="solver_drv" localSheetId="2" hidden="1">1</definedName>
    <definedName name="solver_drv" localSheetId="3" hidden="1">1</definedName>
    <definedName name="solver_drv" localSheetId="0" hidden="1">1</definedName>
    <definedName name="solver_drv" localSheetId="1" hidden="1">1</definedName>
    <definedName name="solver_eng" localSheetId="2" hidden="1">2</definedName>
    <definedName name="solver_eng" localSheetId="3" hidden="1">1</definedName>
    <definedName name="solver_eng" localSheetId="0" hidden="1">1</definedName>
    <definedName name="solver_eng" localSheetId="1" hidden="1">2</definedName>
    <definedName name="solver_est" localSheetId="2" hidden="1">1</definedName>
    <definedName name="solver_est" localSheetId="3" hidden="1">1</definedName>
    <definedName name="solver_est" localSheetId="0" hidden="1">1</definedName>
    <definedName name="solver_est" localSheetId="1" hidden="1">1</definedName>
    <definedName name="solver_itr" localSheetId="2" hidden="1">2147483647</definedName>
    <definedName name="solver_itr" localSheetId="3" hidden="1">2147483647</definedName>
    <definedName name="solver_itr" localSheetId="0" hidden="1">2147483647</definedName>
    <definedName name="solver_itr" localSheetId="1" hidden="1">2147483647</definedName>
    <definedName name="solver_lhs1" localSheetId="2" hidden="1">'dvdrental data example'!$B$15</definedName>
    <definedName name="solver_lhs1" localSheetId="3" hidden="1">'dvdrental data example - 2'!$B$15</definedName>
    <definedName name="solver_lhs1" localSheetId="0" hidden="1">'stage one'!$C$11</definedName>
    <definedName name="solver_lhs1" localSheetId="1" hidden="1">'stage two'!$C$11</definedName>
    <definedName name="solver_lhs2" localSheetId="2" hidden="1">'dvdrental data example'!$B$19</definedName>
    <definedName name="solver_lhs2" localSheetId="3" hidden="1">'dvdrental data example - 2'!$B$19</definedName>
    <definedName name="solver_lhs2" localSheetId="0" hidden="1">'stage one'!$C$5</definedName>
    <definedName name="solver_lhs2" localSheetId="1" hidden="1">'stage two'!$C$21</definedName>
    <definedName name="solver_lhs3" localSheetId="2" hidden="1">'dvdrental data example'!$F$4:$F$11</definedName>
    <definedName name="solver_lhs3" localSheetId="3" hidden="1">'dvdrental data example - 2'!$B$21</definedName>
    <definedName name="solver_lhs3" localSheetId="1" hidden="1">'stage two'!$C$5</definedName>
    <definedName name="solver_lhs4" localSheetId="2" hidden="1">'dvdrental data example'!$F$4:$F$11</definedName>
    <definedName name="solver_lhs4" localSheetId="3" hidden="1">'dvdrental data example - 2'!$F$4:$F$11</definedName>
    <definedName name="solver_lin" localSheetId="2" hidden="1">1</definedName>
    <definedName name="solver_lin" localSheetId="3" hidden="1">2</definedName>
    <definedName name="solver_lin" localSheetId="0" hidden="1">2</definedName>
    <definedName name="solver_mip" localSheetId="2" hidden="1">2147483647</definedName>
    <definedName name="solver_mip" localSheetId="3" hidden="1">2147483647</definedName>
    <definedName name="solver_mip" localSheetId="0" hidden="1">2147483647</definedName>
    <definedName name="solver_mip" localSheetId="1" hidden="1">2147483647</definedName>
    <definedName name="solver_mni" localSheetId="2" hidden="1">30</definedName>
    <definedName name="solver_mni" localSheetId="3" hidden="1">30</definedName>
    <definedName name="solver_mni" localSheetId="0" hidden="1">30</definedName>
    <definedName name="solver_mni" localSheetId="1" hidden="1">30</definedName>
    <definedName name="solver_mrt" localSheetId="2" hidden="1">0.075</definedName>
    <definedName name="solver_mrt" localSheetId="3" hidden="1">0.075</definedName>
    <definedName name="solver_mrt" localSheetId="0" hidden="1">0.075</definedName>
    <definedName name="solver_mrt" localSheetId="1" hidden="1">0.075</definedName>
    <definedName name="solver_msl" localSheetId="2" hidden="1">2</definedName>
    <definedName name="solver_msl" localSheetId="3" hidden="1">2</definedName>
    <definedName name="solver_msl" localSheetId="0" hidden="1">2</definedName>
    <definedName name="solver_msl" localSheetId="1" hidden="1">2</definedName>
    <definedName name="solver_neg" localSheetId="2" hidden="1">1</definedName>
    <definedName name="solver_neg" localSheetId="3" hidden="1">1</definedName>
    <definedName name="solver_neg" localSheetId="0" hidden="1">1</definedName>
    <definedName name="solver_neg" localSheetId="1" hidden="1">1</definedName>
    <definedName name="solver_nod" localSheetId="2" hidden="1">2147483647</definedName>
    <definedName name="solver_nod" localSheetId="3" hidden="1">2147483647</definedName>
    <definedName name="solver_nod" localSheetId="0" hidden="1">2147483647</definedName>
    <definedName name="solver_nod" localSheetId="1" hidden="1">2147483647</definedName>
    <definedName name="solver_num" localSheetId="2" hidden="1">3</definedName>
    <definedName name="solver_num" localSheetId="3" hidden="1">4</definedName>
    <definedName name="solver_num" localSheetId="0" hidden="1">2</definedName>
    <definedName name="solver_num" localSheetId="1" hidden="1">3</definedName>
    <definedName name="solver_nwt" localSheetId="2" hidden="1">1</definedName>
    <definedName name="solver_nwt" localSheetId="3" hidden="1">1</definedName>
    <definedName name="solver_nwt" localSheetId="0" hidden="1">1</definedName>
    <definedName name="solver_nwt" localSheetId="1" hidden="1">1</definedName>
    <definedName name="solver_opt" localSheetId="2" hidden="1">'dvdrental data example'!$B$16</definedName>
    <definedName name="solver_opt" localSheetId="3" hidden="1">'dvdrental data example - 2'!$B$16</definedName>
    <definedName name="solver_opt" localSheetId="0" hidden="1">'stage one'!$B$11</definedName>
    <definedName name="solver_opt" localSheetId="1" hidden="1">'stage two'!$B$11</definedName>
    <definedName name="solver_pre" localSheetId="2" hidden="1">0.000001</definedName>
    <definedName name="solver_pre" localSheetId="3" hidden="1">0.000001</definedName>
    <definedName name="solver_pre" localSheetId="0" hidden="1">0.000001</definedName>
    <definedName name="solver_pre" localSheetId="1" hidden="1">0.000001</definedName>
    <definedName name="solver_rbv" localSheetId="2" hidden="1">1</definedName>
    <definedName name="solver_rbv" localSheetId="3" hidden="1">1</definedName>
    <definedName name="solver_rbv" localSheetId="0" hidden="1">1</definedName>
    <definedName name="solver_rbv" localSheetId="1" hidden="1">1</definedName>
    <definedName name="solver_rel1" localSheetId="2" hidden="1">1</definedName>
    <definedName name="solver_rel1" localSheetId="3" hidden="1">1</definedName>
    <definedName name="solver_rel1" localSheetId="0" hidden="1">1</definedName>
    <definedName name="solver_rel1" localSheetId="1" hidden="1">1</definedName>
    <definedName name="solver_rel2" localSheetId="2" hidden="1">1</definedName>
    <definedName name="solver_rel2" localSheetId="3" hidden="1">1</definedName>
    <definedName name="solver_rel2" localSheetId="0" hidden="1">1</definedName>
    <definedName name="solver_rel2" localSheetId="1" hidden="1">1</definedName>
    <definedName name="solver_rel3" localSheetId="2" hidden="1">3</definedName>
    <definedName name="solver_rel3" localSheetId="3" hidden="1">1</definedName>
    <definedName name="solver_rel3" localSheetId="1" hidden="1">1</definedName>
    <definedName name="solver_rel4" localSheetId="2" hidden="1">3</definedName>
    <definedName name="solver_rel4" localSheetId="3" hidden="1">3</definedName>
    <definedName name="solver_rhs1" localSheetId="2" hidden="1">'dvdrental data example'!$B$14</definedName>
    <definedName name="solver_rhs1" localSheetId="3" hidden="1">'dvdrental data example - 2'!$B$14</definedName>
    <definedName name="solver_rhs1" localSheetId="0" hidden="1">'stage one'!$C$13</definedName>
    <definedName name="solver_rhs1" localSheetId="1" hidden="1">'stage two'!$C$13</definedName>
    <definedName name="solver_rhs2" localSheetId="2" hidden="1">'dvdrental data example'!$B$18</definedName>
    <definedName name="solver_rhs2" localSheetId="3" hidden="1">'dvdrental data example - 2'!$B$18</definedName>
    <definedName name="solver_rhs2" localSheetId="0" hidden="1">'stage one'!$C$18</definedName>
    <definedName name="solver_rhs2" localSheetId="1" hidden="1">0</definedName>
    <definedName name="solver_rhs3" localSheetId="2" hidden="1">'dvdrental data example'!$E$4:$E$11</definedName>
    <definedName name="solver_rhs3" localSheetId="3" hidden="1">'dvdrental data example - 2'!$B$22</definedName>
    <definedName name="solver_rhs3" localSheetId="1" hidden="1">'stage two'!$C$18</definedName>
    <definedName name="solver_rhs4" localSheetId="2" hidden="1">'dvdrental data example'!$E$4:$E$11</definedName>
    <definedName name="solver_rhs4" localSheetId="3" hidden="1">'dvdrental data example - 2'!$E$4:$E$11</definedName>
    <definedName name="solver_rlx" localSheetId="2" hidden="1">1</definedName>
    <definedName name="solver_rlx" localSheetId="3" hidden="1">1</definedName>
    <definedName name="solver_rlx" localSheetId="0" hidden="1">2</definedName>
    <definedName name="solver_rlx" localSheetId="1" hidden="1">2</definedName>
    <definedName name="solver_rsd" localSheetId="2" hidden="1">0</definedName>
    <definedName name="solver_rsd" localSheetId="3" hidden="1">0</definedName>
    <definedName name="solver_rsd" localSheetId="0" hidden="1">0</definedName>
    <definedName name="solver_rsd" localSheetId="1" hidden="1">0</definedName>
    <definedName name="solver_scl" localSheetId="2" hidden="1">1</definedName>
    <definedName name="solver_scl" localSheetId="3" hidden="1">1</definedName>
    <definedName name="solver_scl" localSheetId="0" hidden="1">1</definedName>
    <definedName name="solver_scl" localSheetId="1" hidden="1">1</definedName>
    <definedName name="solver_sho" localSheetId="2" hidden="1">2</definedName>
    <definedName name="solver_sho" localSheetId="3" hidden="1">2</definedName>
    <definedName name="solver_sho" localSheetId="0" hidden="1">2</definedName>
    <definedName name="solver_sho" localSheetId="1" hidden="1">1</definedName>
    <definedName name="solver_ssz" localSheetId="2" hidden="1">100</definedName>
    <definedName name="solver_ssz" localSheetId="3" hidden="1">100</definedName>
    <definedName name="solver_ssz" localSheetId="0" hidden="1">100</definedName>
    <definedName name="solver_ssz" localSheetId="1" hidden="1">100</definedName>
    <definedName name="solver_tim" localSheetId="2" hidden="1">2147483647</definedName>
    <definedName name="solver_tim" localSheetId="3" hidden="1">2147483647</definedName>
    <definedName name="solver_tim" localSheetId="0" hidden="1">2147483647</definedName>
    <definedName name="solver_tim" localSheetId="1" hidden="1">2147483647</definedName>
    <definedName name="solver_tol" localSheetId="2" hidden="1">0.01</definedName>
    <definedName name="solver_tol" localSheetId="3" hidden="1">0.01</definedName>
    <definedName name="solver_tol" localSheetId="0" hidden="1">0.01</definedName>
    <definedName name="solver_tol" localSheetId="1" hidden="1">0.01</definedName>
    <definedName name="solver_typ" localSheetId="2" hidden="1">1</definedName>
    <definedName name="solver_typ" localSheetId="3" hidden="1">1</definedName>
    <definedName name="solver_typ" localSheetId="0" hidden="1">1</definedName>
    <definedName name="solver_typ" localSheetId="1" hidden="1">1</definedName>
    <definedName name="solver_val" localSheetId="2" hidden="1">0</definedName>
    <definedName name="solver_val" localSheetId="3" hidden="1">0</definedName>
    <definedName name="solver_val" localSheetId="0" hidden="1">0</definedName>
    <definedName name="solver_val" localSheetId="1" hidden="1">0</definedName>
    <definedName name="solver_ver" localSheetId="2" hidden="1">2</definedName>
    <definedName name="solver_ver" localSheetId="3" hidden="1">2</definedName>
    <definedName name="solver_ver" localSheetId="0" hidden="1">2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5" l="1"/>
  <c r="B21" i="5"/>
  <c r="B19" i="5"/>
  <c r="B16" i="5"/>
  <c r="B15" i="5"/>
  <c r="B19" i="4"/>
  <c r="B16" i="4"/>
  <c r="B15" i="4"/>
  <c r="C21" i="2"/>
  <c r="C5" i="2"/>
  <c r="C5" i="1"/>
  <c r="C18" i="2"/>
  <c r="C11" i="2"/>
  <c r="B11" i="2"/>
  <c r="C18" i="1"/>
  <c r="C11" i="1"/>
  <c r="B11" i="1"/>
</calcChain>
</file>

<file path=xl/sharedStrings.xml><?xml version="1.0" encoding="utf-8"?>
<sst xmlns="http://schemas.openxmlformats.org/spreadsheetml/2006/main" count="91" uniqueCount="56">
  <si>
    <t>Series</t>
  </si>
  <si>
    <t>Movies</t>
  </si>
  <si>
    <t>n</t>
  </si>
  <si>
    <t>m</t>
  </si>
  <si>
    <t>Number</t>
  </si>
  <si>
    <t>Profit</t>
  </si>
  <si>
    <t>Cost</t>
  </si>
  <si>
    <t>Total Budget</t>
  </si>
  <si>
    <t>Total</t>
  </si>
  <si>
    <t>Current Inventory</t>
  </si>
  <si>
    <t>Max Inventory</t>
  </si>
  <si>
    <t>Available Space</t>
  </si>
  <si>
    <t>Ratio</t>
  </si>
  <si>
    <t>Total Purchased</t>
  </si>
  <si>
    <t>Ratio used as Equation</t>
  </si>
  <si>
    <t>Drama</t>
  </si>
  <si>
    <t>Sports</t>
  </si>
  <si>
    <t>Comedy</t>
  </si>
  <si>
    <t>Documentary</t>
  </si>
  <si>
    <t>Action</t>
  </si>
  <si>
    <t>Thriller</t>
  </si>
  <si>
    <t>Romance</t>
  </si>
  <si>
    <t>Children</t>
  </si>
  <si>
    <t>Avg Cost</t>
  </si>
  <si>
    <t>Budget</t>
  </si>
  <si>
    <t>Total Cost</t>
  </si>
  <si>
    <t>Amount to Buy</t>
  </si>
  <si>
    <t>Total Profit</t>
  </si>
  <si>
    <t>Inventory Space</t>
  </si>
  <si>
    <t>Sum of Units</t>
  </si>
  <si>
    <t>I have setup the cells that the solver will be modifying until it finds the optimal value</t>
  </si>
  <si>
    <t>I have a total of n + m for comapring with the constraints of available space</t>
  </si>
  <si>
    <t>I have entered in the cost and profit for series and movies</t>
  </si>
  <si>
    <t>I use the SUMPRODUCT to multiply series and movie profit by n and m and sum them up. Sum product saves you the stress of typing in multiiple products</t>
  </si>
  <si>
    <t>I have entered in the constraint</t>
  </si>
  <si>
    <t>Here we provide the inventory space available</t>
  </si>
  <si>
    <t>Here we calculate the number of movies we can stock</t>
  </si>
  <si>
    <t xml:space="preserve">To use the solver, click on Data &gt; Solver </t>
  </si>
  <si>
    <t>Enter in the following information and click solve</t>
  </si>
  <si>
    <t>The values in the yellow colored cells will change</t>
  </si>
  <si>
    <t>Number of Movies</t>
  </si>
  <si>
    <t>Avg Revenue</t>
  </si>
  <si>
    <t>Next, I am going to add a constraint. Let the ratio of n to m no b more than 1.5</t>
  </si>
  <si>
    <t>We have to write this as an equation equals to zero so n - 1.5m &lt;= 0 (zero is the constraint we will enter into the Solver). See if you can figure this out</t>
  </si>
  <si>
    <t>Note, you can use Simplex as the solving method too</t>
  </si>
  <si>
    <t>Use Simplex as the solver method instead</t>
  </si>
  <si>
    <t>Minimum New Purchase</t>
  </si>
  <si>
    <t>Here I have setup a demo table to show you how you can use minimum numbers as an additional constraint</t>
  </si>
  <si>
    <t>You can add as a constraint that the amounts to buy should not be less than minimum new purchase numbers all while optimizing total profit</t>
  </si>
  <si>
    <t>How would you determine what these minimums should be for your business? Who needs to be involved?</t>
  </si>
  <si>
    <t>Computed Max Difference</t>
  </si>
  <si>
    <t>Here we are going to set up an additional constraint WHICH INTRODUCES NON-LINEARITY</t>
  </si>
  <si>
    <t>Includethe constraint that the computd max difference is less than or equal to the current max difference</t>
  </si>
  <si>
    <t>Make sure you use the NonLinar method instead of Simplex</t>
  </si>
  <si>
    <t>Current Max Difference</t>
  </si>
  <si>
    <t>Your answer is likely going to give you fractions - remember you can't buy a fraction of a movie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</si>
</sst>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419100</xdr:colOff>
      <xdr:row>19</xdr:row>
      <xdr:rowOff>50800</xdr:rowOff>
    </xdr:from>
    <xdr:to>
      <xdr:col>12</xdr:col>
      <xdr:colOff>304800</xdr:colOff>
      <xdr:row>37</xdr:row>
      <xdr:rowOff>38100</xdr:rowOff>
    </xdr:to>
    <xdr:pic>
      <xdr:nvPicPr>
        <xdr:cNvPr id="2" name="Picture 1" descr="A screenshot of a computer&#10;&#10;AI-generated content may be incorrect.">
          <a:extLst>
            <a:ext uri="{FF2B5EF4-FFF2-40B4-BE49-F238E27FC236}">
              <a16:creationId xmlns:a16="http://schemas.microsoft.com/office/drawing/2014/main" id="{1A8569D1-EE9D-8D59-8B7D-372750E92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3500" y="3670300"/>
          <a:ext cx="2578100" cy="341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9"/>
  <sheetViews>
    <sheetView workbookViewId="0">
      <selection activeCell="E30" sqref="E30"/>
    </sheetView>
  </sheetViews>
  <sheetFormatPr baseColWidth="10" defaultColWidth="8.83203125" defaultRowHeight="15" x14ac:dyDescent="0.2"/>
  <cols>
    <col min="1" max="1" width="16.83203125" bestFit="1" customWidth="1"/>
  </cols>
  <sheetData>
    <row r="2" spans="1:5" x14ac:dyDescent="0.2">
      <c r="C2" t="s">
        <v>4</v>
      </c>
    </row>
    <row r="3" spans="1:5" x14ac:dyDescent="0.2">
      <c r="A3" t="s">
        <v>0</v>
      </c>
      <c r="B3" t="s">
        <v>2</v>
      </c>
      <c r="C3" s="1"/>
      <c r="E3" t="s">
        <v>30</v>
      </c>
    </row>
    <row r="4" spans="1:5" x14ac:dyDescent="0.2">
      <c r="A4" t="s">
        <v>1</v>
      </c>
      <c r="B4" t="s">
        <v>3</v>
      </c>
      <c r="C4" s="1"/>
    </row>
    <row r="5" spans="1:5" x14ac:dyDescent="0.2">
      <c r="A5" t="s">
        <v>13</v>
      </c>
      <c r="C5">
        <f>SUM(C3:C4)</f>
        <v>0</v>
      </c>
      <c r="E5" t="s">
        <v>31</v>
      </c>
    </row>
    <row r="7" spans="1:5" x14ac:dyDescent="0.2">
      <c r="B7" t="s">
        <v>5</v>
      </c>
      <c r="C7" t="s">
        <v>6</v>
      </c>
    </row>
    <row r="8" spans="1:5" x14ac:dyDescent="0.2">
      <c r="A8" t="s">
        <v>0</v>
      </c>
      <c r="B8">
        <v>5</v>
      </c>
      <c r="C8">
        <v>25</v>
      </c>
      <c r="E8" t="s">
        <v>32</v>
      </c>
    </row>
    <row r="9" spans="1:5" x14ac:dyDescent="0.2">
      <c r="A9" t="s">
        <v>1</v>
      </c>
      <c r="B9">
        <v>2.5</v>
      </c>
      <c r="C9">
        <v>19</v>
      </c>
    </row>
    <row r="11" spans="1:5" x14ac:dyDescent="0.2">
      <c r="A11" t="s">
        <v>8</v>
      </c>
      <c r="B11">
        <f>SUMPRODUCT(B8:B9,C3:C4)</f>
        <v>0</v>
      </c>
      <c r="C11">
        <f>SUMPRODUCT(C8:C9,C3:C4)</f>
        <v>0</v>
      </c>
      <c r="E11" t="s">
        <v>33</v>
      </c>
    </row>
    <row r="13" spans="1:5" x14ac:dyDescent="0.2">
      <c r="A13" t="s">
        <v>7</v>
      </c>
      <c r="C13">
        <v>10000</v>
      </c>
      <c r="E13" t="s">
        <v>34</v>
      </c>
    </row>
    <row r="15" spans="1:5" x14ac:dyDescent="0.2">
      <c r="A15" t="s">
        <v>9</v>
      </c>
      <c r="C15">
        <v>3800</v>
      </c>
      <c r="E15" t="s">
        <v>35</v>
      </c>
    </row>
    <row r="16" spans="1:5" x14ac:dyDescent="0.2">
      <c r="A16" t="s">
        <v>10</v>
      </c>
      <c r="C16">
        <v>5000</v>
      </c>
    </row>
    <row r="18" spans="1:5" x14ac:dyDescent="0.2">
      <c r="A18" t="s">
        <v>11</v>
      </c>
      <c r="C18">
        <f>C16-C15</f>
        <v>1200</v>
      </c>
      <c r="E18" t="s">
        <v>36</v>
      </c>
    </row>
    <row r="21" spans="1:5" x14ac:dyDescent="0.2">
      <c r="E21" t="s">
        <v>37</v>
      </c>
    </row>
    <row r="22" spans="1:5" x14ac:dyDescent="0.2">
      <c r="E22" t="s">
        <v>38</v>
      </c>
    </row>
    <row r="23" spans="1:5" x14ac:dyDescent="0.2">
      <c r="E23" t="s">
        <v>39</v>
      </c>
    </row>
    <row r="29" spans="1:5" x14ac:dyDescent="0.2">
      <c r="E29" t="s">
        <v>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0D7CF-8773-49E8-A03E-34C46ECE83CE}">
  <dimension ref="A2:E22"/>
  <sheetViews>
    <sheetView workbookViewId="0">
      <selection activeCell="E23" sqref="E23"/>
    </sheetView>
  </sheetViews>
  <sheetFormatPr baseColWidth="10" defaultColWidth="8.83203125" defaultRowHeight="15" x14ac:dyDescent="0.2"/>
  <cols>
    <col min="1" max="1" width="21.1640625" bestFit="1" customWidth="1"/>
    <col min="3" max="3" width="11" bestFit="1" customWidth="1"/>
  </cols>
  <sheetData>
    <row r="2" spans="1:3" x14ac:dyDescent="0.2">
      <c r="C2" t="s">
        <v>4</v>
      </c>
    </row>
    <row r="3" spans="1:3" x14ac:dyDescent="0.2">
      <c r="A3" t="s">
        <v>0</v>
      </c>
      <c r="B3" t="s">
        <v>2</v>
      </c>
      <c r="C3" s="1"/>
    </row>
    <row r="4" spans="1:3" x14ac:dyDescent="0.2">
      <c r="A4" t="s">
        <v>1</v>
      </c>
      <c r="B4" t="s">
        <v>3</v>
      </c>
      <c r="C4" s="1"/>
    </row>
    <row r="5" spans="1:3" x14ac:dyDescent="0.2">
      <c r="A5" t="s">
        <v>13</v>
      </c>
      <c r="C5">
        <f>SUM(C3:C4)</f>
        <v>0</v>
      </c>
    </row>
    <row r="7" spans="1:3" x14ac:dyDescent="0.2">
      <c r="B7" t="s">
        <v>5</v>
      </c>
      <c r="C7" t="s">
        <v>6</v>
      </c>
    </row>
    <row r="8" spans="1:3" x14ac:dyDescent="0.2">
      <c r="A8" t="s">
        <v>0</v>
      </c>
      <c r="B8">
        <v>5</v>
      </c>
      <c r="C8">
        <v>25</v>
      </c>
    </row>
    <row r="9" spans="1:3" x14ac:dyDescent="0.2">
      <c r="A9" t="s">
        <v>1</v>
      </c>
      <c r="B9">
        <v>2.5</v>
      </c>
      <c r="C9">
        <v>19</v>
      </c>
    </row>
    <row r="11" spans="1:3" x14ac:dyDescent="0.2">
      <c r="A11" t="s">
        <v>8</v>
      </c>
      <c r="B11">
        <f>SUMPRODUCT(B8:B9,C3:C4)</f>
        <v>0</v>
      </c>
      <c r="C11">
        <f>SUMPRODUCT(C8:C9,C3:C4)</f>
        <v>0</v>
      </c>
    </row>
    <row r="13" spans="1:3" x14ac:dyDescent="0.2">
      <c r="A13" t="s">
        <v>7</v>
      </c>
      <c r="C13">
        <v>12000</v>
      </c>
    </row>
    <row r="15" spans="1:3" x14ac:dyDescent="0.2">
      <c r="A15" t="s">
        <v>9</v>
      </c>
      <c r="C15">
        <v>3800</v>
      </c>
    </row>
    <row r="16" spans="1:3" x14ac:dyDescent="0.2">
      <c r="A16" t="s">
        <v>10</v>
      </c>
      <c r="C16">
        <v>5000</v>
      </c>
    </row>
    <row r="18" spans="1:5" x14ac:dyDescent="0.2">
      <c r="A18" t="s">
        <v>11</v>
      </c>
      <c r="C18">
        <f>C16-C15</f>
        <v>1200</v>
      </c>
    </row>
    <row r="20" spans="1:5" x14ac:dyDescent="0.2">
      <c r="A20" t="s">
        <v>12</v>
      </c>
      <c r="C20">
        <v>1.5</v>
      </c>
      <c r="E20" t="s">
        <v>42</v>
      </c>
    </row>
    <row r="21" spans="1:5" x14ac:dyDescent="0.2">
      <c r="A21" t="s">
        <v>14</v>
      </c>
      <c r="C21">
        <f>C3-C20*C4</f>
        <v>0</v>
      </c>
      <c r="E21" t="s">
        <v>43</v>
      </c>
    </row>
    <row r="22" spans="1:5" x14ac:dyDescent="0.2">
      <c r="E2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D601-42E3-4186-B176-C388E267E26F}">
  <dimension ref="A3:H19"/>
  <sheetViews>
    <sheetView workbookViewId="0">
      <selection activeCell="H7" sqref="H7"/>
    </sheetView>
  </sheetViews>
  <sheetFormatPr baseColWidth="10" defaultColWidth="8.83203125" defaultRowHeight="15" x14ac:dyDescent="0.2"/>
  <cols>
    <col min="1" max="1" width="15.33203125" bestFit="1" customWidth="1"/>
    <col min="2" max="2" width="8.5" bestFit="1" customWidth="1"/>
    <col min="3" max="3" width="10.5" bestFit="1" customWidth="1"/>
    <col min="4" max="4" width="14.83203125" bestFit="1" customWidth="1"/>
    <col min="5" max="5" width="19.6640625" bestFit="1" customWidth="1"/>
    <col min="6" max="6" width="14.33203125" bestFit="1" customWidth="1"/>
  </cols>
  <sheetData>
    <row r="3" spans="1:8" x14ac:dyDescent="0.2">
      <c r="B3" t="s">
        <v>23</v>
      </c>
      <c r="C3" t="s">
        <v>41</v>
      </c>
      <c r="D3" t="s">
        <v>40</v>
      </c>
      <c r="E3" t="s">
        <v>46</v>
      </c>
      <c r="F3" t="s">
        <v>26</v>
      </c>
    </row>
    <row r="4" spans="1:8" x14ac:dyDescent="0.2">
      <c r="A4" t="s">
        <v>15</v>
      </c>
      <c r="B4">
        <v>12</v>
      </c>
      <c r="C4">
        <v>3</v>
      </c>
      <c r="D4">
        <v>58</v>
      </c>
      <c r="E4">
        <v>50</v>
      </c>
      <c r="F4" s="1"/>
      <c r="H4" t="s">
        <v>47</v>
      </c>
    </row>
    <row r="5" spans="1:8" x14ac:dyDescent="0.2">
      <c r="A5" t="s">
        <v>16</v>
      </c>
      <c r="B5">
        <v>15</v>
      </c>
      <c r="C5">
        <v>4</v>
      </c>
      <c r="D5">
        <v>40</v>
      </c>
      <c r="E5">
        <v>50</v>
      </c>
      <c r="F5" s="1"/>
      <c r="H5" t="s">
        <v>48</v>
      </c>
    </row>
    <row r="6" spans="1:8" x14ac:dyDescent="0.2">
      <c r="A6" t="s">
        <v>17</v>
      </c>
      <c r="B6">
        <v>12</v>
      </c>
      <c r="C6">
        <v>2</v>
      </c>
      <c r="D6">
        <v>65</v>
      </c>
      <c r="E6">
        <v>50</v>
      </c>
      <c r="F6" s="1"/>
    </row>
    <row r="7" spans="1:8" x14ac:dyDescent="0.2">
      <c r="A7" t="s">
        <v>18</v>
      </c>
      <c r="B7">
        <v>12</v>
      </c>
      <c r="C7">
        <v>4</v>
      </c>
      <c r="D7">
        <v>55</v>
      </c>
      <c r="E7">
        <v>50</v>
      </c>
      <c r="F7" s="1"/>
      <c r="H7" t="s">
        <v>49</v>
      </c>
    </row>
    <row r="8" spans="1:8" x14ac:dyDescent="0.2">
      <c r="A8" t="s">
        <v>19</v>
      </c>
      <c r="B8">
        <v>16</v>
      </c>
      <c r="C8">
        <v>2</v>
      </c>
      <c r="D8">
        <v>60</v>
      </c>
      <c r="E8">
        <v>50</v>
      </c>
      <c r="F8" s="1"/>
    </row>
    <row r="9" spans="1:8" x14ac:dyDescent="0.2">
      <c r="A9" t="s">
        <v>20</v>
      </c>
      <c r="B9">
        <v>14</v>
      </c>
      <c r="C9">
        <v>3</v>
      </c>
      <c r="D9">
        <v>45</v>
      </c>
      <c r="E9">
        <v>50</v>
      </c>
      <c r="F9" s="1"/>
    </row>
    <row r="10" spans="1:8" x14ac:dyDescent="0.2">
      <c r="A10" t="s">
        <v>21</v>
      </c>
      <c r="B10">
        <v>14</v>
      </c>
      <c r="C10">
        <v>2</v>
      </c>
      <c r="D10">
        <v>35</v>
      </c>
      <c r="E10">
        <v>50</v>
      </c>
      <c r="F10" s="1"/>
    </row>
    <row r="11" spans="1:8" x14ac:dyDescent="0.2">
      <c r="A11" t="s">
        <v>22</v>
      </c>
      <c r="B11">
        <v>13</v>
      </c>
      <c r="C11">
        <v>3</v>
      </c>
      <c r="D11">
        <v>50</v>
      </c>
      <c r="E11">
        <v>50</v>
      </c>
      <c r="F11" s="1"/>
    </row>
    <row r="14" spans="1:8" x14ac:dyDescent="0.2">
      <c r="A14" t="s">
        <v>24</v>
      </c>
      <c r="B14">
        <v>10000</v>
      </c>
    </row>
    <row r="15" spans="1:8" x14ac:dyDescent="0.2">
      <c r="A15" t="s">
        <v>25</v>
      </c>
      <c r="B15">
        <f>SUMPRODUCT(B4:B11,F4:F11)</f>
        <v>0</v>
      </c>
    </row>
    <row r="16" spans="1:8" x14ac:dyDescent="0.2">
      <c r="A16" t="s">
        <v>27</v>
      </c>
      <c r="B16">
        <f>SUMPRODUCT(C4:C11,F4:F11)</f>
        <v>0</v>
      </c>
    </row>
    <row r="18" spans="1:2" x14ac:dyDescent="0.2">
      <c r="A18" t="s">
        <v>28</v>
      </c>
      <c r="B18">
        <v>1200</v>
      </c>
    </row>
    <row r="19" spans="1:2" x14ac:dyDescent="0.2">
      <c r="A19" t="s">
        <v>29</v>
      </c>
      <c r="B19">
        <f>SUM(F4:F11)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8916-447E-E24C-954D-3C9D9C07D06E}">
  <dimension ref="A3:F25"/>
  <sheetViews>
    <sheetView tabSelected="1" workbookViewId="0">
      <selection activeCell="D23" sqref="D23"/>
    </sheetView>
  </sheetViews>
  <sheetFormatPr baseColWidth="10" defaultColWidth="8.83203125" defaultRowHeight="15" x14ac:dyDescent="0.2"/>
  <cols>
    <col min="1" max="1" width="19.83203125" bestFit="1" customWidth="1"/>
    <col min="2" max="2" width="8.5" bestFit="1" customWidth="1"/>
    <col min="3" max="3" width="10.5" bestFit="1" customWidth="1"/>
    <col min="4" max="4" width="14.83203125" bestFit="1" customWidth="1"/>
    <col min="5" max="5" width="19.6640625" bestFit="1" customWidth="1"/>
    <col min="6" max="6" width="14.33203125" bestFit="1" customWidth="1"/>
  </cols>
  <sheetData>
    <row r="3" spans="1:6" x14ac:dyDescent="0.2">
      <c r="B3" t="s">
        <v>23</v>
      </c>
      <c r="C3" t="s">
        <v>41</v>
      </c>
      <c r="D3" t="s">
        <v>40</v>
      </c>
      <c r="E3" t="s">
        <v>46</v>
      </c>
      <c r="F3" t="s">
        <v>26</v>
      </c>
    </row>
    <row r="4" spans="1:6" x14ac:dyDescent="0.2">
      <c r="A4" t="s">
        <v>15</v>
      </c>
      <c r="B4">
        <v>12</v>
      </c>
      <c r="C4">
        <v>3</v>
      </c>
      <c r="D4">
        <v>58</v>
      </c>
      <c r="E4">
        <v>50</v>
      </c>
      <c r="F4" s="1"/>
    </row>
    <row r="5" spans="1:6" x14ac:dyDescent="0.2">
      <c r="A5" t="s">
        <v>16</v>
      </c>
      <c r="B5">
        <v>15</v>
      </c>
      <c r="C5">
        <v>4</v>
      </c>
      <c r="D5">
        <v>40</v>
      </c>
      <c r="E5">
        <v>50</v>
      </c>
      <c r="F5" s="1"/>
    </row>
    <row r="6" spans="1:6" x14ac:dyDescent="0.2">
      <c r="A6" t="s">
        <v>17</v>
      </c>
      <c r="B6">
        <v>12</v>
      </c>
      <c r="C6">
        <v>2</v>
      </c>
      <c r="D6">
        <v>65</v>
      </c>
      <c r="E6">
        <v>50</v>
      </c>
      <c r="F6" s="1"/>
    </row>
    <row r="7" spans="1:6" x14ac:dyDescent="0.2">
      <c r="A7" t="s">
        <v>18</v>
      </c>
      <c r="B7">
        <v>12</v>
      </c>
      <c r="C7">
        <v>4</v>
      </c>
      <c r="D7">
        <v>55</v>
      </c>
      <c r="E7">
        <v>50</v>
      </c>
      <c r="F7" s="1"/>
    </row>
    <row r="8" spans="1:6" x14ac:dyDescent="0.2">
      <c r="A8" t="s">
        <v>19</v>
      </c>
      <c r="B8">
        <v>16</v>
      </c>
      <c r="C8">
        <v>2</v>
      </c>
      <c r="D8">
        <v>60</v>
      </c>
      <c r="E8">
        <v>50</v>
      </c>
      <c r="F8" s="1"/>
    </row>
    <row r="9" spans="1:6" x14ac:dyDescent="0.2">
      <c r="A9" t="s">
        <v>20</v>
      </c>
      <c r="B9">
        <v>14</v>
      </c>
      <c r="C9">
        <v>3</v>
      </c>
      <c r="D9">
        <v>45</v>
      </c>
      <c r="E9">
        <v>50</v>
      </c>
      <c r="F9" s="1"/>
    </row>
    <row r="10" spans="1:6" x14ac:dyDescent="0.2">
      <c r="A10" t="s">
        <v>21</v>
      </c>
      <c r="B10">
        <v>14</v>
      </c>
      <c r="C10">
        <v>2</v>
      </c>
      <c r="D10">
        <v>35</v>
      </c>
      <c r="E10">
        <v>50</v>
      </c>
      <c r="F10" s="1"/>
    </row>
    <row r="11" spans="1:6" x14ac:dyDescent="0.2">
      <c r="A11" t="s">
        <v>22</v>
      </c>
      <c r="B11">
        <v>13</v>
      </c>
      <c r="C11">
        <v>3</v>
      </c>
      <c r="D11">
        <v>50</v>
      </c>
      <c r="E11">
        <v>50</v>
      </c>
      <c r="F11" s="1"/>
    </row>
    <row r="14" spans="1:6" x14ac:dyDescent="0.2">
      <c r="A14" t="s">
        <v>24</v>
      </c>
      <c r="B14">
        <v>10000</v>
      </c>
    </row>
    <row r="15" spans="1:6" x14ac:dyDescent="0.2">
      <c r="A15" t="s">
        <v>25</v>
      </c>
      <c r="B15">
        <f>SUMPRODUCT(B4:B11,F4:F11)</f>
        <v>0</v>
      </c>
    </row>
    <row r="16" spans="1:6" x14ac:dyDescent="0.2">
      <c r="A16" t="s">
        <v>27</v>
      </c>
      <c r="B16">
        <f>SUMPRODUCT(C4:C11,F4:F11)</f>
        <v>0</v>
      </c>
    </row>
    <row r="18" spans="1:4" x14ac:dyDescent="0.2">
      <c r="A18" t="s">
        <v>28</v>
      </c>
      <c r="B18">
        <v>1200</v>
      </c>
    </row>
    <row r="19" spans="1:4" x14ac:dyDescent="0.2">
      <c r="A19" t="s">
        <v>29</v>
      </c>
      <c r="B19">
        <f>SUM(F4:F11)</f>
        <v>0</v>
      </c>
    </row>
    <row r="21" spans="1:4" x14ac:dyDescent="0.2">
      <c r="A21" t="s">
        <v>50</v>
      </c>
      <c r="B21">
        <f>MAX(F4:F11)-MIN(F4:F11)</f>
        <v>0</v>
      </c>
      <c r="D21" t="s">
        <v>51</v>
      </c>
    </row>
    <row r="22" spans="1:4" x14ac:dyDescent="0.2">
      <c r="A22" t="s">
        <v>54</v>
      </c>
      <c r="B22">
        <f>MAX(D4:D11)-MIN(D4:D11)</f>
        <v>30</v>
      </c>
      <c r="D22" t="s">
        <v>52</v>
      </c>
    </row>
    <row r="23" spans="1:4" x14ac:dyDescent="0.2">
      <c r="D23" t="s">
        <v>53</v>
      </c>
    </row>
    <row r="25" spans="1:4" x14ac:dyDescent="0.2">
      <c r="D2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stage one</vt:lpstr>
      <vt:lpstr>stage two</vt:lpstr>
      <vt:lpstr>dvdrental data example</vt:lpstr>
      <vt:lpstr>dvdrental data example - 2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AGOGO</dc:creator>
  <cp:lastModifiedBy>David Agogo</cp:lastModifiedBy>
  <dcterms:created xsi:type="dcterms:W3CDTF">2015-06-05T18:17:20Z</dcterms:created>
  <dcterms:modified xsi:type="dcterms:W3CDTF">2025-03-21T16:45:57Z</dcterms:modified>
</cp:coreProperties>
</file>